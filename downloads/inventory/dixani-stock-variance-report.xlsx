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6fcc89368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riance Report" sheetId="1" r:id="R0eacd5cfc2a64b92"/>
    <x:sheet xmlns:r="http://schemas.openxmlformats.org/officeDocument/2006/relationships" name="How to Use" sheetId="2" r:id="Rb00bdc3fbaa4468f"/>
    <x:sheet xmlns:r="http://schemas.openxmlformats.org/officeDocument/2006/relationships" name="Example" sheetId="3" r:id="R751dc5062273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%"/>
    <x:numFmt numFmtId="202" formatCode="#,##0.00"/>
    <x:numFmt numFmtId="203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color rgb="FF475569"/>
      <x:name val="Carlito"/>
    </x:font>
    <x:font>
      <x:b/>
      <x:sz val="14"/>
      <x:color rgb="FF0F172A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horizontal="center"/>
    </x:xf>
    <x:xf numFmtId="202" fontId="6" fillId="0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0" fontId="8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color rgb="FF92400E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881e240384219" /><Relationship Type="http://schemas.openxmlformats.org/officeDocument/2006/relationships/theme" Target="/xl/theme/theme1.xml" Id="R0bc0fff74cf04fb1" /><Relationship Type="http://schemas.openxmlformats.org/officeDocument/2006/relationships/sharedStrings" Target="/xl/sharedStrings.xml" Id="R62408f1b67f7407c" /><Relationship Type="http://schemas.openxmlformats.org/officeDocument/2006/relationships/worksheet" Target="/xl/worksheets/sheet1.xml" Id="R0eacd5cfc2a64b92" /><Relationship Type="http://schemas.openxmlformats.org/officeDocument/2006/relationships/worksheet" Target="/xl/worksheets/sheet2.xml" Id="Rb00bdc3fbaa4468f" /><Relationship Type="http://schemas.openxmlformats.org/officeDocument/2006/relationships/worksheet" Target="/xl/worksheets/sheet3.xml" Id="R751dc50622734a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7" hidden="0" customWidth="1"/>
    <x:col min="4" max="4" width="15" hidden="0" customWidth="1"/>
    <x:col min="5" max="5" width="16" hidden="0" customWidth="1"/>
    <x:col min="6" max="6" width="9" hidden="0" customWidth="1"/>
    <x:col min="7" max="7" width="13" hidden="0" customWidth="1"/>
    <x:col min="8" max="8" width="13" hidden="0" customWidth="1"/>
    <x:col min="9" max="9" width="13" hidden="0" customWidth="1"/>
    <x:col min="10" max="10" width="12" hidden="0" customWidth="1"/>
    <x:col min="11" max="11" width="13" hidden="0" customWidth="1"/>
    <x:col min="12" max="12" width="15" hidden="0" customWidth="1"/>
    <x:col min="13" max="13" width="14" hidden="0" customWidth="1"/>
  </x:cols>
  <x:sheetData>
    <x:row r="1" ht="30" customHeight="1">
      <x:c r="A1" s="5" t="str">
        <x:v>DIXANI - STOCK VARIANCE REPORT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2" t="str">
        <x:v>Physical Stock vs System Stock | Inventory Control Record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>
      <x:c r="A4" s="16" t="str">
        <x:v>Company / Business</x:v>
      </x:c>
      <x:c r="B4" t="str"/>
      <x:c r="C4" t="str"/>
      <x:c r="D4" s="16" t="str">
        <x:v>Warehouse / Location</x:v>
      </x:c>
      <x:c r="E4" t="str"/>
      <x:c r="F4" t="str"/>
      <x:c r="G4" s="16" t="str">
        <x:v>Report Date</x:v>
      </x:c>
      <x:c r="H4" t="str"/>
      <x:c r="I4" t="str"/>
      <x:c r="J4" s="16" t="str">
        <x:v>Prepared By</x:v>
      </x:c>
      <x:c r="K4" t="str"/>
      <x:c r="L4" t="str"/>
      <x:c r="M4" t="str"/>
    </x:row>
    <x:row r="5">
      <x:c r="A5" s="16" t="str">
        <x:v>Currency</x:v>
      </x:c>
      <x:c r="B5" t="str">
        <x:v>USD</x:v>
      </x:c>
      <x:c r="C5" t="str"/>
      <x:c r="D5" s="16" t="str">
        <x:v>Count Reference</x:v>
      </x:c>
      <x:c r="E5" t="str"/>
      <x:c r="F5" t="str"/>
      <x:c r="G5" s="16" t="str">
        <x:v>Reviewed By</x:v>
      </x:c>
      <x:c r="H5" t="str"/>
      <x:c r="I5" t="str"/>
      <x:c r="J5" s="16" t="str">
        <x:v>Approved By</x:v>
      </x:c>
      <x:c r="K5" t="str"/>
      <x:c r="L5" t="str"/>
      <x:c r="M5" t="str"/>
    </x:row>
    <x:row r="7">
      <x:c r="A7" s="18" t="str">
        <x:v>VARIANCE SUMMARY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</x:row>
    <x:row r="8">
      <x:c r="A8" s="23" t="str">
        <x:v>Started Rows</x:v>
      </x:c>
      <x:c r="B8" s="23" t="str"/>
      <x:c r="C8" s="23" t="str">
        <x:v>Matched</x:v>
      </x:c>
      <x:c r="D8" s="23" t="str"/>
      <x:c r="E8" s="23" t="str">
        <x:v>Shortage</x:v>
      </x:c>
      <x:c r="F8" s="23" t="str"/>
      <x:c r="G8" s="23" t="str">
        <x:v>Excess</x:v>
      </x:c>
      <x:c r="H8" s="23" t="str"/>
      <x:c r="I8" s="23" t="str">
        <x:v>Shortage Value</x:v>
      </x:c>
      <x:c r="J8" s="23" t="str"/>
      <x:c r="K8" s="23" t="str">
        <x:v>Excess Value</x:v>
      </x:c>
      <x:c r="L8" s="23" t="str"/>
      <x:c r="M8" s="23" t="str">
        <x:v>Net Variance Value</x:v>
      </x:c>
    </x:row>
    <x:row r="9" ht="28" customHeight="1">
      <x:c r="A9" s="29" t="n">
        <x:f>COUNT(I13:I52)+COUNTIF(M13:M52,"INCOMPLETE")</x:f>
        <x:v>0</x:v>
      </x:c>
      <x:c r="B9" s="29"/>
      <x:c r="C9" s="29" t="n">
        <x:f>COUNTIF(M13:M52,"MATCHED")</x:f>
        <x:v>0</x:v>
      </x:c>
      <x:c r="D9" s="29"/>
      <x:c r="E9" s="29" t="n">
        <x:f>COUNTIF(M13:M52,"SHORTAGE")</x:f>
        <x:v>0</x:v>
      </x:c>
      <x:c r="F9" s="29"/>
      <x:c r="G9" s="29" t="n">
        <x:f>COUNTIF(M13:M52,"EXCESS")</x:f>
        <x:v>0</x:v>
      </x:c>
      <x:c r="H9" s="29"/>
      <x:c r="I9" s="60" t="n">
        <x:f>IF(A9&lt;&gt;COUNT(L13:L52),"Incomplete",-SUMIF(L13:L52,"&lt;0",L13:L52))</x:f>
        <x:v>0</x:v>
      </x:c>
      <x:c r="J9" s="60"/>
      <x:c r="K9" s="60" t="n">
        <x:f>IF(A9&lt;&gt;COUNT(L13:L52),"Incomplete",SUMIF(L13:L52,"&gt;0",L13:L52))</x:f>
        <x:v>0</x:v>
      </x:c>
      <x:c r="L9" s="60"/>
      <x:c r="M9" s="60" t="n">
        <x:f>IF(A9&lt;&gt;COUNT(L13:L52),"Incomplete",SUM(L13:L52))</x:f>
        <x:v>0</x:v>
      </x:c>
    </x:row>
    <x:row r="10" ht="24" customHeight="1">
      <x:c r="A10" s="69" t="str">
        <x:f>"Rows needing quantities: "&amp;COUNTIF(M13:M52,"INCOMPLETE")&amp;". Value totals require valid quantities and costs for every started row."</x:f>
        <x:v>Rows needing quantities: 0. Value totals require valid quantities and costs for every started row.</x:v>
      </x:c>
      <x:c r="B10" s="69"/>
      <x:c r="C10" s="69"/>
      <x:c r="D10" s="69"/>
      <x:c r="E10" s="69"/>
      <x:c r="F10" s="69"/>
      <x:c r="G10" s="69"/>
      <x:c r="H10" s="69"/>
      <x:c r="I10" s="69"/>
      <x:c r="J10" s="69"/>
      <x:c r="K10" s="69"/>
      <x:c r="L10" s="69"/>
      <x:c r="M10" s="69"/>
    </x:row>
    <x:row r="12" ht="32" customHeight="1">
      <x:c r="A12" s="35" t="str">
        <x:v>#</x:v>
      </x:c>
      <x:c r="B12" s="35" t="str">
        <x:v>SKU / Item Code</x:v>
      </x:c>
      <x:c r="C12" s="35" t="str">
        <x:v>Description</x:v>
      </x:c>
      <x:c r="D12" s="35" t="str">
        <x:v>Category</x:v>
      </x:c>
      <x:c r="E12" s="35" t="str">
        <x:v>Location / Bin</x:v>
      </x:c>
      <x:c r="F12" s="35" t="str">
        <x:v>UOM</x:v>
      </x:c>
      <x:c r="G12" s="35" t="str">
        <x:v>System Qty</x:v>
      </x:c>
      <x:c r="H12" s="35" t="str">
        <x:v>Physical Qty</x:v>
      </x:c>
      <x:c r="I12" s="35" t="str">
        <x:v>Variance Qty</x:v>
      </x:c>
      <x:c r="J12" s="35" t="str">
        <x:v>Variance %</x:v>
      </x:c>
      <x:c r="K12" s="35" t="str">
        <x:v>Unit Cost</x:v>
      </x:c>
      <x:c r="L12" s="35" t="str">
        <x:v>Variance Value</x:v>
      </x:c>
      <x:c r="M12" s="35" t="str">
        <x:v>Status</x:v>
      </x:c>
    </x:row>
    <x:row r="13">
      <x:c r="A13" s="40" t="n">
        <x:v>1</x:v>
      </x:c>
      <x:c r="B13" s="40"/>
      <x:c r="C13" s="40"/>
      <x:c r="D13" s="40"/>
      <x:c r="E13" s="40"/>
      <x:c r="F13" s="40"/>
      <x:c r="G13" s="48"/>
      <x:c r="H13" s="48"/>
      <x:c r="I13" s="48" t="str">
        <x:f>IF(AND(ISNUMBER(G13),ISNUMBER(H13),G13&gt;=0,H13&gt;=0),H13-G13,"")</x:f>
      </x:c>
      <x:c r="J13" s="52" t="str">
        <x:f>IF(ISNUMBER(I13),IF(G13=0,"N/A",I13/G13),"")</x:f>
      </x:c>
      <x:c r="K13" s="56"/>
      <x:c r="L13" s="56" t="str">
        <x:f>IF(AND(ISNUMBER(I13),ISNUMBER(K13),K13&gt;=0),I13*K13,"")</x:f>
      </x:c>
      <x:c r="M13" s="40" t="str">
        <x:f>IF(COUNTA(B13:H13,K13)=0,"",IF(ISNUMBER(I13),IF(I13=0,"MATCHED",IF(I13&lt;0,"SHORTAGE","EXCESS")),"INCOMPLETE"))</x:f>
      </x:c>
    </x:row>
    <x:row r="14">
      <x:c r="A14" s="42" t="n">
        <x:v>2</x:v>
      </x:c>
      <x:c r="B14" s="42"/>
      <x:c r="C14" s="42"/>
      <x:c r="D14" s="42"/>
      <x:c r="E14" s="42"/>
      <x:c r="F14" s="42"/>
      <x:c r="G14" s="49"/>
      <x:c r="H14" s="49"/>
      <x:c r="I14" s="49" t="str">
        <x:f>IF(AND(ISNUMBER(G14),ISNUMBER(H14),G14&gt;=0,H14&gt;=0),H14-G14,"")</x:f>
      </x:c>
      <x:c r="J14" s="53" t="str">
        <x:f>IF(ISNUMBER(I14),IF(G14=0,"N/A",I14/G14),"")</x:f>
      </x:c>
      <x:c r="K14" s="57"/>
      <x:c r="L14" s="57" t="str">
        <x:f>IF(AND(ISNUMBER(I14),ISNUMBER(K14),K14&gt;=0),I14*K14,"")</x:f>
      </x:c>
      <x:c r="M14" s="42" t="str">
        <x:f>IF(COUNTA(B14:H14,K14)=0,"",IF(ISNUMBER(I14),IF(I14=0,"MATCHED",IF(I14&lt;0,"SHORTAGE","EXCESS")),"INCOMPLETE"))</x:f>
      </x:c>
    </x:row>
    <x:row r="15">
      <x:c r="A15" s="40" t="n">
        <x:v>3</x:v>
      </x:c>
      <x:c r="B15" s="40" t="str"/>
      <x:c r="C15" s="40" t="str"/>
      <x:c r="D15" s="40" t="str"/>
      <x:c r="E15" s="40" t="str"/>
      <x:c r="F15" s="40" t="str"/>
      <x:c r="G15" s="48" t="str"/>
      <x:c r="H15" s="48" t="str"/>
      <x:c r="I15" s="48" t="str">
        <x:f>IF(AND(ISNUMBER(G15),ISNUMBER(H15),G15&gt;=0,H15&gt;=0),H15-G15,"")</x:f>
      </x:c>
      <x:c r="J15" s="52" t="str">
        <x:f>IF(ISNUMBER(I15),IF(G15=0,"N/A",I15/G15),"")</x:f>
      </x:c>
      <x:c r="K15" s="56" t="str"/>
      <x:c r="L15" s="56" t="str">
        <x:f>IF(AND(ISNUMBER(I15),ISNUMBER(K15),K15&gt;=0),I15*K15,"")</x:f>
      </x:c>
      <x:c r="M15" s="40" t="str">
        <x:f>IF(COUNTA(B15:H15,K15)=0,"",IF(ISNUMBER(I15),IF(I15=0,"MATCHED",IF(I15&lt;0,"SHORTAGE","EXCESS")),"INCOMPLETE"))</x:f>
      </x:c>
    </x:row>
    <x:row r="16">
      <x:c r="A16" s="42" t="n">
        <x:v>4</x:v>
      </x:c>
      <x:c r="B16" s="42" t="str"/>
      <x:c r="C16" s="42" t="str"/>
      <x:c r="D16" s="42" t="str"/>
      <x:c r="E16" s="42" t="str"/>
      <x:c r="F16" s="42" t="str"/>
      <x:c r="G16" s="49" t="str"/>
      <x:c r="H16" s="49" t="str"/>
      <x:c r="I16" s="49" t="str">
        <x:f>IF(AND(ISNUMBER(G16),ISNUMBER(H16),G16&gt;=0,H16&gt;=0),H16-G16,"")</x:f>
      </x:c>
      <x:c r="J16" s="53" t="str">
        <x:f>IF(ISNUMBER(I16),IF(G16=0,"N/A",I16/G16),"")</x:f>
      </x:c>
      <x:c r="K16" s="57" t="str"/>
      <x:c r="L16" s="57" t="str">
        <x:f>IF(AND(ISNUMBER(I16),ISNUMBER(K16),K16&gt;=0),I16*K16,"")</x:f>
      </x:c>
      <x:c r="M16" s="42" t="str">
        <x:f>IF(COUNTA(B16:H16,K16)=0,"",IF(ISNUMBER(I16),IF(I16=0,"MATCHED",IF(I16&lt;0,"SHORTAGE","EXCESS")),"INCOMPLETE"))</x:f>
      </x:c>
    </x:row>
    <x:row r="17">
      <x:c r="A17" s="40" t="n">
        <x:v>5</x:v>
      </x:c>
      <x:c r="B17" s="40" t="str"/>
      <x:c r="C17" s="40" t="str"/>
      <x:c r="D17" s="40" t="str"/>
      <x:c r="E17" s="40" t="str"/>
      <x:c r="F17" s="40" t="str"/>
      <x:c r="G17" s="48" t="str"/>
      <x:c r="H17" s="48" t="str"/>
      <x:c r="I17" s="48" t="str">
        <x:f>IF(AND(ISNUMBER(G17),ISNUMBER(H17),G17&gt;=0,H17&gt;=0),H17-G17,"")</x:f>
      </x:c>
      <x:c r="J17" s="52" t="str">
        <x:f>IF(ISNUMBER(I17),IF(G17=0,"N/A",I17/G17),"")</x:f>
      </x:c>
      <x:c r="K17" s="56" t="str"/>
      <x:c r="L17" s="56" t="str">
        <x:f>IF(AND(ISNUMBER(I17),ISNUMBER(K17),K17&gt;=0),I17*K17,"")</x:f>
      </x:c>
      <x:c r="M17" s="40" t="str">
        <x:f>IF(COUNTA(B17:H17,K17)=0,"",IF(ISNUMBER(I17),IF(I17=0,"MATCHED",IF(I17&lt;0,"SHORTAGE","EXCESS")),"INCOMPLETE"))</x:f>
      </x:c>
    </x:row>
    <x:row r="18">
      <x:c r="A18" s="42" t="n">
        <x:v>6</x:v>
      </x:c>
      <x:c r="B18" s="42" t="str"/>
      <x:c r="C18" s="42" t="str"/>
      <x:c r="D18" s="42" t="str"/>
      <x:c r="E18" s="42" t="str"/>
      <x:c r="F18" s="42" t="str"/>
      <x:c r="G18" s="49" t="str"/>
      <x:c r="H18" s="49" t="str"/>
      <x:c r="I18" s="49" t="str">
        <x:f>IF(AND(ISNUMBER(G18),ISNUMBER(H18),G18&gt;=0,H18&gt;=0),H18-G18,"")</x:f>
      </x:c>
      <x:c r="J18" s="53" t="str">
        <x:f>IF(ISNUMBER(I18),IF(G18=0,"N/A",I18/G18),"")</x:f>
      </x:c>
      <x:c r="K18" s="57" t="str"/>
      <x:c r="L18" s="57" t="str">
        <x:f>IF(AND(ISNUMBER(I18),ISNUMBER(K18),K18&gt;=0),I18*K18,"")</x:f>
      </x:c>
      <x:c r="M18" s="42" t="str">
        <x:f>IF(COUNTA(B18:H18,K18)=0,"",IF(ISNUMBER(I18),IF(I18=0,"MATCHED",IF(I18&lt;0,"SHORTAGE","EXCESS")),"INCOMPLETE"))</x:f>
      </x:c>
    </x:row>
    <x:row r="19">
      <x:c r="A19" s="40" t="n">
        <x:v>7</x:v>
      </x:c>
      <x:c r="B19" s="40" t="str"/>
      <x:c r="C19" s="40" t="str"/>
      <x:c r="D19" s="40" t="str"/>
      <x:c r="E19" s="40" t="str"/>
      <x:c r="F19" s="40" t="str"/>
      <x:c r="G19" s="48" t="str"/>
      <x:c r="H19" s="48" t="str"/>
      <x:c r="I19" s="48" t="str">
        <x:f>IF(AND(ISNUMBER(G19),ISNUMBER(H19),G19&gt;=0,H19&gt;=0),H19-G19,"")</x:f>
      </x:c>
      <x:c r="J19" s="52" t="str">
        <x:f>IF(ISNUMBER(I19),IF(G19=0,"N/A",I19/G19),"")</x:f>
      </x:c>
      <x:c r="K19" s="56" t="str"/>
      <x:c r="L19" s="56" t="str">
        <x:f>IF(AND(ISNUMBER(I19),ISNUMBER(K19),K19&gt;=0),I19*K19,"")</x:f>
      </x:c>
      <x:c r="M19" s="40" t="str">
        <x:f>IF(COUNTA(B19:H19,K19)=0,"",IF(ISNUMBER(I19),IF(I19=0,"MATCHED",IF(I19&lt;0,"SHORTAGE","EXCESS")),"INCOMPLETE"))</x:f>
      </x:c>
    </x:row>
    <x:row r="20">
      <x:c r="A20" s="42" t="n">
        <x:v>8</x:v>
      </x:c>
      <x:c r="B20" s="42" t="str"/>
      <x:c r="C20" s="42" t="str"/>
      <x:c r="D20" s="42" t="str"/>
      <x:c r="E20" s="42" t="str"/>
      <x:c r="F20" s="42" t="str"/>
      <x:c r="G20" s="49" t="str"/>
      <x:c r="H20" s="49" t="str"/>
      <x:c r="I20" s="49" t="str">
        <x:f>IF(AND(ISNUMBER(G20),ISNUMBER(H20),G20&gt;=0,H20&gt;=0),H20-G20,"")</x:f>
      </x:c>
      <x:c r="J20" s="53" t="str">
        <x:f>IF(ISNUMBER(I20),IF(G20=0,"N/A",I20/G20),"")</x:f>
      </x:c>
      <x:c r="K20" s="57" t="str"/>
      <x:c r="L20" s="57" t="str">
        <x:f>IF(AND(ISNUMBER(I20),ISNUMBER(K20),K20&gt;=0),I20*K20,"")</x:f>
      </x:c>
      <x:c r="M20" s="42" t="str">
        <x:f>IF(COUNTA(B20:H20,K20)=0,"",IF(ISNUMBER(I20),IF(I20=0,"MATCHED",IF(I20&lt;0,"SHORTAGE","EXCESS")),"INCOMPLETE"))</x:f>
      </x:c>
    </x:row>
    <x:row r="21">
      <x:c r="A21" s="40" t="n">
        <x:v>9</x:v>
      </x:c>
      <x:c r="B21" s="40" t="str"/>
      <x:c r="C21" s="40" t="str"/>
      <x:c r="D21" s="40" t="str"/>
      <x:c r="E21" s="40" t="str"/>
      <x:c r="F21" s="40" t="str"/>
      <x:c r="G21" s="48" t="str"/>
      <x:c r="H21" s="48" t="str"/>
      <x:c r="I21" s="48" t="str">
        <x:f>IF(AND(ISNUMBER(G21),ISNUMBER(H21),G21&gt;=0,H21&gt;=0),H21-G21,"")</x:f>
      </x:c>
      <x:c r="J21" s="52" t="str">
        <x:f>IF(ISNUMBER(I21),IF(G21=0,"N/A",I21/G21),"")</x:f>
      </x:c>
      <x:c r="K21" s="56" t="str"/>
      <x:c r="L21" s="56" t="str">
        <x:f>IF(AND(ISNUMBER(I21),ISNUMBER(K21),K21&gt;=0),I21*K21,"")</x:f>
      </x:c>
      <x:c r="M21" s="40" t="str">
        <x:f>IF(COUNTA(B21:H21,K21)=0,"",IF(ISNUMBER(I21),IF(I21=0,"MATCHED",IF(I21&lt;0,"SHORTAGE","EXCESS")),"INCOMPLETE"))</x:f>
      </x:c>
    </x:row>
    <x:row r="22">
      <x:c r="A22" s="42" t="n">
        <x:v>10</x:v>
      </x:c>
      <x:c r="B22" s="42" t="str"/>
      <x:c r="C22" s="42" t="str"/>
      <x:c r="D22" s="42" t="str"/>
      <x:c r="E22" s="42" t="str"/>
      <x:c r="F22" s="42" t="str"/>
      <x:c r="G22" s="49" t="str"/>
      <x:c r="H22" s="49" t="str"/>
      <x:c r="I22" s="49" t="str">
        <x:f>IF(AND(ISNUMBER(G22),ISNUMBER(H22),G22&gt;=0,H22&gt;=0),H22-G22,"")</x:f>
      </x:c>
      <x:c r="J22" s="53" t="str">
        <x:f>IF(ISNUMBER(I22),IF(G22=0,"N/A",I22/G22),"")</x:f>
      </x:c>
      <x:c r="K22" s="57" t="str"/>
      <x:c r="L22" s="57" t="str">
        <x:f>IF(AND(ISNUMBER(I22),ISNUMBER(K22),K22&gt;=0),I22*K22,"")</x:f>
      </x:c>
      <x:c r="M22" s="42" t="str">
        <x:f>IF(COUNTA(B22:H22,K22)=0,"",IF(ISNUMBER(I22),IF(I22=0,"MATCHED",IF(I22&lt;0,"SHORTAGE","EXCESS")),"INCOMPLETE"))</x:f>
      </x:c>
    </x:row>
    <x:row r="23">
      <x:c r="A23" s="40" t="n">
        <x:v>11</x:v>
      </x:c>
      <x:c r="B23" s="40" t="str"/>
      <x:c r="C23" s="40" t="str"/>
      <x:c r="D23" s="40" t="str"/>
      <x:c r="E23" s="40" t="str"/>
      <x:c r="F23" s="40" t="str"/>
      <x:c r="G23" s="48" t="str"/>
      <x:c r="H23" s="48" t="str"/>
      <x:c r="I23" s="48" t="str">
        <x:f>IF(AND(ISNUMBER(G23),ISNUMBER(H23),G23&gt;=0,H23&gt;=0),H23-G23,"")</x:f>
      </x:c>
      <x:c r="J23" s="52" t="str">
        <x:f>IF(ISNUMBER(I23),IF(G23=0,"N/A",I23/G23),"")</x:f>
      </x:c>
      <x:c r="K23" s="56" t="str"/>
      <x:c r="L23" s="56" t="str">
        <x:f>IF(AND(ISNUMBER(I23),ISNUMBER(K23),K23&gt;=0),I23*K23,"")</x:f>
      </x:c>
      <x:c r="M23" s="40" t="str">
        <x:f>IF(COUNTA(B23:H23,K23)=0,"",IF(ISNUMBER(I23),IF(I23=0,"MATCHED",IF(I23&lt;0,"SHORTAGE","EXCESS")),"INCOMPLETE"))</x:f>
      </x:c>
    </x:row>
    <x:row r="24">
      <x:c r="A24" s="42" t="n">
        <x:v>12</x:v>
      </x:c>
      <x:c r="B24" s="42" t="str"/>
      <x:c r="C24" s="42" t="str"/>
      <x:c r="D24" s="42" t="str"/>
      <x:c r="E24" s="42" t="str"/>
      <x:c r="F24" s="42" t="str"/>
      <x:c r="G24" s="49" t="str"/>
      <x:c r="H24" s="49" t="str"/>
      <x:c r="I24" s="49" t="str">
        <x:f>IF(AND(ISNUMBER(G24),ISNUMBER(H24),G24&gt;=0,H24&gt;=0),H24-G24,"")</x:f>
      </x:c>
      <x:c r="J24" s="53" t="str">
        <x:f>IF(ISNUMBER(I24),IF(G24=0,"N/A",I24/G24),"")</x:f>
      </x:c>
      <x:c r="K24" s="57" t="str"/>
      <x:c r="L24" s="57" t="str">
        <x:f>IF(AND(ISNUMBER(I24),ISNUMBER(K24),K24&gt;=0),I24*K24,"")</x:f>
      </x:c>
      <x:c r="M24" s="42" t="str">
        <x:f>IF(COUNTA(B24:H24,K24)=0,"",IF(ISNUMBER(I24),IF(I24=0,"MATCHED",IF(I24&lt;0,"SHORTAGE","EXCESS")),"INCOMPLETE"))</x:f>
      </x:c>
    </x:row>
    <x:row r="25">
      <x:c r="A25" s="40" t="n">
        <x:v>13</x:v>
      </x:c>
      <x:c r="B25" s="40" t="str"/>
      <x:c r="C25" s="40" t="str"/>
      <x:c r="D25" s="40" t="str"/>
      <x:c r="E25" s="40" t="str"/>
      <x:c r="F25" s="40" t="str"/>
      <x:c r="G25" s="48" t="str"/>
      <x:c r="H25" s="48" t="str"/>
      <x:c r="I25" s="48" t="str">
        <x:f>IF(AND(ISNUMBER(G25),ISNUMBER(H25),G25&gt;=0,H25&gt;=0),H25-G25,"")</x:f>
      </x:c>
      <x:c r="J25" s="52" t="str">
        <x:f>IF(ISNUMBER(I25),IF(G25=0,"N/A",I25/G25),"")</x:f>
      </x:c>
      <x:c r="K25" s="56" t="str"/>
      <x:c r="L25" s="56" t="str">
        <x:f>IF(AND(ISNUMBER(I25),ISNUMBER(K25),K25&gt;=0),I25*K25,"")</x:f>
      </x:c>
      <x:c r="M25" s="40" t="str">
        <x:f>IF(COUNTA(B25:H25,K25)=0,"",IF(ISNUMBER(I25),IF(I25=0,"MATCHED",IF(I25&lt;0,"SHORTAGE","EXCESS")),"INCOMPLETE"))</x:f>
      </x:c>
    </x:row>
    <x:row r="26">
      <x:c r="A26" s="42" t="n">
        <x:v>14</x:v>
      </x:c>
      <x:c r="B26" s="42" t="str"/>
      <x:c r="C26" s="42" t="str"/>
      <x:c r="D26" s="42" t="str"/>
      <x:c r="E26" s="42" t="str"/>
      <x:c r="F26" s="42" t="str"/>
      <x:c r="G26" s="49" t="str"/>
      <x:c r="H26" s="49" t="str"/>
      <x:c r="I26" s="49" t="str">
        <x:f>IF(AND(ISNUMBER(G26),ISNUMBER(H26),G26&gt;=0,H26&gt;=0),H26-G26,"")</x:f>
      </x:c>
      <x:c r="J26" s="53" t="str">
        <x:f>IF(ISNUMBER(I26),IF(G26=0,"N/A",I26/G26),"")</x:f>
      </x:c>
      <x:c r="K26" s="57" t="str"/>
      <x:c r="L26" s="57" t="str">
        <x:f>IF(AND(ISNUMBER(I26),ISNUMBER(K26),K26&gt;=0),I26*K26,"")</x:f>
      </x:c>
      <x:c r="M26" s="42" t="str">
        <x:f>IF(COUNTA(B26:H26,K26)=0,"",IF(ISNUMBER(I26),IF(I26=0,"MATCHED",IF(I26&lt;0,"SHORTAGE","EXCESS")),"INCOMPLETE"))</x:f>
      </x:c>
    </x:row>
    <x:row r="27">
      <x:c r="A27" s="40" t="n">
        <x:v>15</x:v>
      </x:c>
      <x:c r="B27" s="40" t="str"/>
      <x:c r="C27" s="40" t="str"/>
      <x:c r="D27" s="40" t="str"/>
      <x:c r="E27" s="40" t="str"/>
      <x:c r="F27" s="40" t="str"/>
      <x:c r="G27" s="48" t="str"/>
      <x:c r="H27" s="48" t="str"/>
      <x:c r="I27" s="48" t="str">
        <x:f>IF(AND(ISNUMBER(G27),ISNUMBER(H27),G27&gt;=0,H27&gt;=0),H27-G27,"")</x:f>
      </x:c>
      <x:c r="J27" s="52" t="str">
        <x:f>IF(ISNUMBER(I27),IF(G27=0,"N/A",I27/G27),"")</x:f>
      </x:c>
      <x:c r="K27" s="56" t="str"/>
      <x:c r="L27" s="56" t="str">
        <x:f>IF(AND(ISNUMBER(I27),ISNUMBER(K27),K27&gt;=0),I27*K27,"")</x:f>
      </x:c>
      <x:c r="M27" s="40" t="str">
        <x:f>IF(COUNTA(B27:H27,K27)=0,"",IF(ISNUMBER(I27),IF(I27=0,"MATCHED",IF(I27&lt;0,"SHORTAGE","EXCESS")),"INCOMPLETE"))</x:f>
      </x:c>
    </x:row>
    <x:row r="28">
      <x:c r="A28" s="42" t="n">
        <x:v>16</x:v>
      </x:c>
      <x:c r="B28" s="42" t="str"/>
      <x:c r="C28" s="42" t="str"/>
      <x:c r="D28" s="42" t="str"/>
      <x:c r="E28" s="42" t="str"/>
      <x:c r="F28" s="42" t="str"/>
      <x:c r="G28" s="49" t="str"/>
      <x:c r="H28" s="49" t="str"/>
      <x:c r="I28" s="49" t="str">
        <x:f>IF(AND(ISNUMBER(G28),ISNUMBER(H28),G28&gt;=0,H28&gt;=0),H28-G28,"")</x:f>
      </x:c>
      <x:c r="J28" s="53" t="str">
        <x:f>IF(ISNUMBER(I28),IF(G28=0,"N/A",I28/G28),"")</x:f>
      </x:c>
      <x:c r="K28" s="57" t="str"/>
      <x:c r="L28" s="57" t="str">
        <x:f>IF(AND(ISNUMBER(I28),ISNUMBER(K28),K28&gt;=0),I28*K28,"")</x:f>
      </x:c>
      <x:c r="M28" s="42" t="str">
        <x:f>IF(COUNTA(B28:H28,K28)=0,"",IF(ISNUMBER(I28),IF(I28=0,"MATCHED",IF(I28&lt;0,"SHORTAGE","EXCESS")),"INCOMPLETE"))</x:f>
      </x:c>
    </x:row>
    <x:row r="29">
      <x:c r="A29" s="40" t="n">
        <x:v>17</x:v>
      </x:c>
      <x:c r="B29" s="40" t="str"/>
      <x:c r="C29" s="40" t="str"/>
      <x:c r="D29" s="40" t="str"/>
      <x:c r="E29" s="40" t="str"/>
      <x:c r="F29" s="40" t="str"/>
      <x:c r="G29" s="48" t="str"/>
      <x:c r="H29" s="48" t="str"/>
      <x:c r="I29" s="48" t="str">
        <x:f>IF(AND(ISNUMBER(G29),ISNUMBER(H29),G29&gt;=0,H29&gt;=0),H29-G29,"")</x:f>
      </x:c>
      <x:c r="J29" s="52" t="str">
        <x:f>IF(ISNUMBER(I29),IF(G29=0,"N/A",I29/G29),"")</x:f>
      </x:c>
      <x:c r="K29" s="56" t="str"/>
      <x:c r="L29" s="56" t="str">
        <x:f>IF(AND(ISNUMBER(I29),ISNUMBER(K29),K29&gt;=0),I29*K29,"")</x:f>
      </x:c>
      <x:c r="M29" s="40" t="str">
        <x:f>IF(COUNTA(B29:H29,K29)=0,"",IF(ISNUMBER(I29),IF(I29=0,"MATCHED",IF(I29&lt;0,"SHORTAGE","EXCESS")),"INCOMPLETE"))</x:f>
      </x:c>
    </x:row>
    <x:row r="30">
      <x:c r="A30" s="42" t="n">
        <x:v>18</x:v>
      </x:c>
      <x:c r="B30" s="42" t="str"/>
      <x:c r="C30" s="42" t="str"/>
      <x:c r="D30" s="42" t="str"/>
      <x:c r="E30" s="42" t="str"/>
      <x:c r="F30" s="42" t="str"/>
      <x:c r="G30" s="49" t="str"/>
      <x:c r="H30" s="49" t="str"/>
      <x:c r="I30" s="49" t="str">
        <x:f>IF(AND(ISNUMBER(G30),ISNUMBER(H30),G30&gt;=0,H30&gt;=0),H30-G30,"")</x:f>
      </x:c>
      <x:c r="J30" s="53" t="str">
        <x:f>IF(ISNUMBER(I30),IF(G30=0,"N/A",I30/G30),"")</x:f>
      </x:c>
      <x:c r="K30" s="57" t="str"/>
      <x:c r="L30" s="57" t="str">
        <x:f>IF(AND(ISNUMBER(I30),ISNUMBER(K30),K30&gt;=0),I30*K30,"")</x:f>
      </x:c>
      <x:c r="M30" s="42" t="str">
        <x:f>IF(COUNTA(B30:H30,K30)=0,"",IF(ISNUMBER(I30),IF(I30=0,"MATCHED",IF(I30&lt;0,"SHORTAGE","EXCESS")),"INCOMPLETE"))</x:f>
      </x:c>
    </x:row>
    <x:row r="31">
      <x:c r="A31" s="40" t="n">
        <x:v>19</x:v>
      </x:c>
      <x:c r="B31" s="40" t="str"/>
      <x:c r="C31" s="40" t="str"/>
      <x:c r="D31" s="40" t="str"/>
      <x:c r="E31" s="40" t="str"/>
      <x:c r="F31" s="40" t="str"/>
      <x:c r="G31" s="48" t="str"/>
      <x:c r="H31" s="48" t="str"/>
      <x:c r="I31" s="48" t="str">
        <x:f>IF(AND(ISNUMBER(G31),ISNUMBER(H31),G31&gt;=0,H31&gt;=0),H31-G31,"")</x:f>
      </x:c>
      <x:c r="J31" s="52" t="str">
        <x:f>IF(ISNUMBER(I31),IF(G31=0,"N/A",I31/G31),"")</x:f>
      </x:c>
      <x:c r="K31" s="56" t="str"/>
      <x:c r="L31" s="56" t="str">
        <x:f>IF(AND(ISNUMBER(I31),ISNUMBER(K31),K31&gt;=0),I31*K31,"")</x:f>
      </x:c>
      <x:c r="M31" s="40" t="str">
        <x:f>IF(COUNTA(B31:H31,K31)=0,"",IF(ISNUMBER(I31),IF(I31=0,"MATCHED",IF(I31&lt;0,"SHORTAGE","EXCESS")),"INCOMPLETE"))</x:f>
      </x:c>
    </x:row>
    <x:row r="32">
      <x:c r="A32" s="42" t="n">
        <x:v>20</x:v>
      </x:c>
      <x:c r="B32" s="42" t="str"/>
      <x:c r="C32" s="42" t="str"/>
      <x:c r="D32" s="42" t="str"/>
      <x:c r="E32" s="42" t="str"/>
      <x:c r="F32" s="42" t="str"/>
      <x:c r="G32" s="49" t="str"/>
      <x:c r="H32" s="49" t="str"/>
      <x:c r="I32" s="49" t="str">
        <x:f>IF(AND(ISNUMBER(G32),ISNUMBER(H32),G32&gt;=0,H32&gt;=0),H32-G32,"")</x:f>
      </x:c>
      <x:c r="J32" s="53" t="str">
        <x:f>IF(ISNUMBER(I32),IF(G32=0,"N/A",I32/G32),"")</x:f>
      </x:c>
      <x:c r="K32" s="57" t="str"/>
      <x:c r="L32" s="57" t="str">
        <x:f>IF(AND(ISNUMBER(I32),ISNUMBER(K32),K32&gt;=0),I32*K32,"")</x:f>
      </x:c>
      <x:c r="M32" s="42" t="str">
        <x:f>IF(COUNTA(B32:H32,K32)=0,"",IF(ISNUMBER(I32),IF(I32=0,"MATCHED",IF(I32&lt;0,"SHORTAGE","EXCESS")),"INCOMPLETE"))</x:f>
      </x:c>
    </x:row>
    <x:row r="33">
      <x:c r="A33" s="40" t="n">
        <x:v>21</x:v>
      </x:c>
      <x:c r="B33" s="40" t="str"/>
      <x:c r="C33" s="40" t="str"/>
      <x:c r="D33" s="40" t="str"/>
      <x:c r="E33" s="40" t="str"/>
      <x:c r="F33" s="40" t="str"/>
      <x:c r="G33" s="48" t="str"/>
      <x:c r="H33" s="48" t="str"/>
      <x:c r="I33" s="48" t="str">
        <x:f>IF(AND(ISNUMBER(G33),ISNUMBER(H33),G33&gt;=0,H33&gt;=0),H33-G33,"")</x:f>
      </x:c>
      <x:c r="J33" s="52" t="str">
        <x:f>IF(ISNUMBER(I33),IF(G33=0,"N/A",I33/G33),"")</x:f>
      </x:c>
      <x:c r="K33" s="56" t="str"/>
      <x:c r="L33" s="56" t="str">
        <x:f>IF(AND(ISNUMBER(I33),ISNUMBER(K33),K33&gt;=0),I33*K33,"")</x:f>
      </x:c>
      <x:c r="M33" s="40" t="str">
        <x:f>IF(COUNTA(B33:H33,K33)=0,"",IF(ISNUMBER(I33),IF(I33=0,"MATCHED",IF(I33&lt;0,"SHORTAGE","EXCESS")),"INCOMPLETE"))</x:f>
      </x:c>
    </x:row>
    <x:row r="34">
      <x:c r="A34" s="42" t="n">
        <x:v>22</x:v>
      </x:c>
      <x:c r="B34" s="42" t="str"/>
      <x:c r="C34" s="42" t="str"/>
      <x:c r="D34" s="42" t="str"/>
      <x:c r="E34" s="42" t="str"/>
      <x:c r="F34" s="42" t="str"/>
      <x:c r="G34" s="49" t="str"/>
      <x:c r="H34" s="49" t="str"/>
      <x:c r="I34" s="49" t="str">
        <x:f>IF(AND(ISNUMBER(G34),ISNUMBER(H34),G34&gt;=0,H34&gt;=0),H34-G34,"")</x:f>
      </x:c>
      <x:c r="J34" s="53" t="str">
        <x:f>IF(ISNUMBER(I34),IF(G34=0,"N/A",I34/G34),"")</x:f>
      </x:c>
      <x:c r="K34" s="57" t="str"/>
      <x:c r="L34" s="57" t="str">
        <x:f>IF(AND(ISNUMBER(I34),ISNUMBER(K34),K34&gt;=0),I34*K34,"")</x:f>
      </x:c>
      <x:c r="M34" s="42" t="str">
        <x:f>IF(COUNTA(B34:H34,K34)=0,"",IF(ISNUMBER(I34),IF(I34=0,"MATCHED",IF(I34&lt;0,"SHORTAGE","EXCESS")),"INCOMPLETE"))</x:f>
      </x:c>
    </x:row>
    <x:row r="35">
      <x:c r="A35" s="40" t="n">
        <x:v>23</x:v>
      </x:c>
      <x:c r="B35" s="40" t="str"/>
      <x:c r="C35" s="40" t="str"/>
      <x:c r="D35" s="40" t="str"/>
      <x:c r="E35" s="40" t="str"/>
      <x:c r="F35" s="40" t="str"/>
      <x:c r="G35" s="48" t="str"/>
      <x:c r="H35" s="48" t="str"/>
      <x:c r="I35" s="48" t="str">
        <x:f>IF(AND(ISNUMBER(G35),ISNUMBER(H35),G35&gt;=0,H35&gt;=0),H35-G35,"")</x:f>
      </x:c>
      <x:c r="J35" s="52" t="str">
        <x:f>IF(ISNUMBER(I35),IF(G35=0,"N/A",I35/G35),"")</x:f>
      </x:c>
      <x:c r="K35" s="56" t="str"/>
      <x:c r="L35" s="56" t="str">
        <x:f>IF(AND(ISNUMBER(I35),ISNUMBER(K35),K35&gt;=0),I35*K35,"")</x:f>
      </x:c>
      <x:c r="M35" s="40" t="str">
        <x:f>IF(COUNTA(B35:H35,K35)=0,"",IF(ISNUMBER(I35),IF(I35=0,"MATCHED",IF(I35&lt;0,"SHORTAGE","EXCESS")),"INCOMPLETE"))</x:f>
      </x:c>
    </x:row>
    <x:row r="36">
      <x:c r="A36" s="42" t="n">
        <x:v>24</x:v>
      </x:c>
      <x:c r="B36" s="42" t="str"/>
      <x:c r="C36" s="42" t="str"/>
      <x:c r="D36" s="42" t="str"/>
      <x:c r="E36" s="42" t="str"/>
      <x:c r="F36" s="42" t="str"/>
      <x:c r="G36" s="49" t="str"/>
      <x:c r="H36" s="49" t="str"/>
      <x:c r="I36" s="49" t="str">
        <x:f>IF(AND(ISNUMBER(G36),ISNUMBER(H36),G36&gt;=0,H36&gt;=0),H36-G36,"")</x:f>
      </x:c>
      <x:c r="J36" s="53" t="str">
        <x:f>IF(ISNUMBER(I36),IF(G36=0,"N/A",I36/G36),"")</x:f>
      </x:c>
      <x:c r="K36" s="57" t="str"/>
      <x:c r="L36" s="57" t="str">
        <x:f>IF(AND(ISNUMBER(I36),ISNUMBER(K36),K36&gt;=0),I36*K36,"")</x:f>
      </x:c>
      <x:c r="M36" s="42" t="str">
        <x:f>IF(COUNTA(B36:H36,K36)=0,"",IF(ISNUMBER(I36),IF(I36=0,"MATCHED",IF(I36&lt;0,"SHORTAGE","EXCESS")),"INCOMPLETE"))</x:f>
      </x:c>
    </x:row>
    <x:row r="37">
      <x:c r="A37" s="40" t="n">
        <x:v>25</x:v>
      </x:c>
      <x:c r="B37" s="40" t="str"/>
      <x:c r="C37" s="40" t="str"/>
      <x:c r="D37" s="40" t="str"/>
      <x:c r="E37" s="40" t="str"/>
      <x:c r="F37" s="40" t="str"/>
      <x:c r="G37" s="48" t="str"/>
      <x:c r="H37" s="48" t="str"/>
      <x:c r="I37" s="48" t="str">
        <x:f>IF(AND(ISNUMBER(G37),ISNUMBER(H37),G37&gt;=0,H37&gt;=0),H37-G37,"")</x:f>
      </x:c>
      <x:c r="J37" s="52" t="str">
        <x:f>IF(ISNUMBER(I37),IF(G37=0,"N/A",I37/G37),"")</x:f>
      </x:c>
      <x:c r="K37" s="56" t="str"/>
      <x:c r="L37" s="56" t="str">
        <x:f>IF(AND(ISNUMBER(I37),ISNUMBER(K37),K37&gt;=0),I37*K37,"")</x:f>
      </x:c>
      <x:c r="M37" s="40" t="str">
        <x:f>IF(COUNTA(B37:H37,K37)=0,"",IF(ISNUMBER(I37),IF(I37=0,"MATCHED",IF(I37&lt;0,"SHORTAGE","EXCESS")),"INCOMPLETE"))</x:f>
      </x:c>
    </x:row>
    <x:row r="38">
      <x:c r="A38" s="42" t="n">
        <x:v>26</x:v>
      </x:c>
      <x:c r="B38" s="42" t="str"/>
      <x:c r="C38" s="42" t="str"/>
      <x:c r="D38" s="42" t="str"/>
      <x:c r="E38" s="42" t="str"/>
      <x:c r="F38" s="42" t="str"/>
      <x:c r="G38" s="49" t="str"/>
      <x:c r="H38" s="49" t="str"/>
      <x:c r="I38" s="49" t="str">
        <x:f>IF(AND(ISNUMBER(G38),ISNUMBER(H38),G38&gt;=0,H38&gt;=0),H38-G38,"")</x:f>
      </x:c>
      <x:c r="J38" s="53" t="str">
        <x:f>IF(ISNUMBER(I38),IF(G38=0,"N/A",I38/G38),"")</x:f>
      </x:c>
      <x:c r="K38" s="57" t="str"/>
      <x:c r="L38" s="57" t="str">
        <x:f>IF(AND(ISNUMBER(I38),ISNUMBER(K38),K38&gt;=0),I38*K38,"")</x:f>
      </x:c>
      <x:c r="M38" s="42" t="str">
        <x:f>IF(COUNTA(B38:H38,K38)=0,"",IF(ISNUMBER(I38),IF(I38=0,"MATCHED",IF(I38&lt;0,"SHORTAGE","EXCESS")),"INCOMPLETE"))</x:f>
      </x:c>
    </x:row>
    <x:row r="39">
      <x:c r="A39" s="40" t="n">
        <x:v>27</x:v>
      </x:c>
      <x:c r="B39" s="40" t="str"/>
      <x:c r="C39" s="40" t="str"/>
      <x:c r="D39" s="40" t="str"/>
      <x:c r="E39" s="40" t="str"/>
      <x:c r="F39" s="40" t="str"/>
      <x:c r="G39" s="48" t="str"/>
      <x:c r="H39" s="48" t="str"/>
      <x:c r="I39" s="48" t="str">
        <x:f>IF(AND(ISNUMBER(G39),ISNUMBER(H39),G39&gt;=0,H39&gt;=0),H39-G39,"")</x:f>
      </x:c>
      <x:c r="J39" s="52" t="str">
        <x:f>IF(ISNUMBER(I39),IF(G39=0,"N/A",I39/G39),"")</x:f>
      </x:c>
      <x:c r="K39" s="56" t="str"/>
      <x:c r="L39" s="56" t="str">
        <x:f>IF(AND(ISNUMBER(I39),ISNUMBER(K39),K39&gt;=0),I39*K39,"")</x:f>
      </x:c>
      <x:c r="M39" s="40" t="str">
        <x:f>IF(COUNTA(B39:H39,K39)=0,"",IF(ISNUMBER(I39),IF(I39=0,"MATCHED",IF(I39&lt;0,"SHORTAGE","EXCESS")),"INCOMPLETE"))</x:f>
      </x:c>
    </x:row>
    <x:row r="40">
      <x:c r="A40" s="42" t="n">
        <x:v>28</x:v>
      </x:c>
      <x:c r="B40" s="42" t="str"/>
      <x:c r="C40" s="42" t="str"/>
      <x:c r="D40" s="42" t="str"/>
      <x:c r="E40" s="42" t="str"/>
      <x:c r="F40" s="42" t="str"/>
      <x:c r="G40" s="49" t="str"/>
      <x:c r="H40" s="49" t="str"/>
      <x:c r="I40" s="49" t="str">
        <x:f>IF(AND(ISNUMBER(G40),ISNUMBER(H40),G40&gt;=0,H40&gt;=0),H40-G40,"")</x:f>
      </x:c>
      <x:c r="J40" s="53" t="str">
        <x:f>IF(ISNUMBER(I40),IF(G40=0,"N/A",I40/G40),"")</x:f>
      </x:c>
      <x:c r="K40" s="57" t="str"/>
      <x:c r="L40" s="57" t="str">
        <x:f>IF(AND(ISNUMBER(I40),ISNUMBER(K40),K40&gt;=0),I40*K40,"")</x:f>
      </x:c>
      <x:c r="M40" s="42" t="str">
        <x:f>IF(COUNTA(B40:H40,K40)=0,"",IF(ISNUMBER(I40),IF(I40=0,"MATCHED",IF(I40&lt;0,"SHORTAGE","EXCESS")),"INCOMPLETE"))</x:f>
      </x:c>
    </x:row>
    <x:row r="41">
      <x:c r="A41" s="40" t="n">
        <x:v>29</x:v>
      </x:c>
      <x:c r="B41" s="40" t="str"/>
      <x:c r="C41" s="40" t="str"/>
      <x:c r="D41" s="40" t="str"/>
      <x:c r="E41" s="40" t="str"/>
      <x:c r="F41" s="40" t="str"/>
      <x:c r="G41" s="48" t="str"/>
      <x:c r="H41" s="48" t="str"/>
      <x:c r="I41" s="48" t="str">
        <x:f>IF(AND(ISNUMBER(G41),ISNUMBER(H41),G41&gt;=0,H41&gt;=0),H41-G41,"")</x:f>
      </x:c>
      <x:c r="J41" s="52" t="str">
        <x:f>IF(ISNUMBER(I41),IF(G41=0,"N/A",I41/G41),"")</x:f>
      </x:c>
      <x:c r="K41" s="56" t="str"/>
      <x:c r="L41" s="56" t="str">
        <x:f>IF(AND(ISNUMBER(I41),ISNUMBER(K41),K41&gt;=0),I41*K41,"")</x:f>
      </x:c>
      <x:c r="M41" s="40" t="str">
        <x:f>IF(COUNTA(B41:H41,K41)=0,"",IF(ISNUMBER(I41),IF(I41=0,"MATCHED",IF(I41&lt;0,"SHORTAGE","EXCESS")),"INCOMPLETE"))</x:f>
      </x:c>
    </x:row>
    <x:row r="42">
      <x:c r="A42" s="42" t="n">
        <x:v>30</x:v>
      </x:c>
      <x:c r="B42" s="42" t="str"/>
      <x:c r="C42" s="42" t="str"/>
      <x:c r="D42" s="42" t="str"/>
      <x:c r="E42" s="42" t="str"/>
      <x:c r="F42" s="42" t="str"/>
      <x:c r="G42" s="49" t="str"/>
      <x:c r="H42" s="49" t="str"/>
      <x:c r="I42" s="49" t="str">
        <x:f>IF(AND(ISNUMBER(G42),ISNUMBER(H42),G42&gt;=0,H42&gt;=0),H42-G42,"")</x:f>
      </x:c>
      <x:c r="J42" s="53" t="str">
        <x:f>IF(ISNUMBER(I42),IF(G42=0,"N/A",I42/G42),"")</x:f>
      </x:c>
      <x:c r="K42" s="57" t="str"/>
      <x:c r="L42" s="57" t="str">
        <x:f>IF(AND(ISNUMBER(I42),ISNUMBER(K42),K42&gt;=0),I42*K42,"")</x:f>
      </x:c>
      <x:c r="M42" s="42" t="str">
        <x:f>IF(COUNTA(B42:H42,K42)=0,"",IF(ISNUMBER(I42),IF(I42=0,"MATCHED",IF(I42&lt;0,"SHORTAGE","EXCESS")),"INCOMPLETE"))</x:f>
      </x:c>
    </x:row>
    <x:row r="43">
      <x:c r="A43" s="40" t="n">
        <x:v>31</x:v>
      </x:c>
      <x:c r="B43" s="40" t="str"/>
      <x:c r="C43" s="40" t="str"/>
      <x:c r="D43" s="40" t="str"/>
      <x:c r="E43" s="40" t="str"/>
      <x:c r="F43" s="40" t="str"/>
      <x:c r="G43" s="48" t="str"/>
      <x:c r="H43" s="48" t="str"/>
      <x:c r="I43" s="48" t="str">
        <x:f>IF(AND(ISNUMBER(G43),ISNUMBER(H43),G43&gt;=0,H43&gt;=0),H43-G43,"")</x:f>
      </x:c>
      <x:c r="J43" s="52" t="str">
        <x:f>IF(ISNUMBER(I43),IF(G43=0,"N/A",I43/G43),"")</x:f>
      </x:c>
      <x:c r="K43" s="56" t="str"/>
      <x:c r="L43" s="56" t="str">
        <x:f>IF(AND(ISNUMBER(I43),ISNUMBER(K43),K43&gt;=0),I43*K43,"")</x:f>
      </x:c>
      <x:c r="M43" s="40" t="str">
        <x:f>IF(COUNTA(B43:H43,K43)=0,"",IF(ISNUMBER(I43),IF(I43=0,"MATCHED",IF(I43&lt;0,"SHORTAGE","EXCESS")),"INCOMPLETE"))</x:f>
      </x:c>
    </x:row>
    <x:row r="44">
      <x:c r="A44" s="42" t="n">
        <x:v>32</x:v>
      </x:c>
      <x:c r="B44" s="42" t="str"/>
      <x:c r="C44" s="42" t="str"/>
      <x:c r="D44" s="42" t="str"/>
      <x:c r="E44" s="42" t="str"/>
      <x:c r="F44" s="42" t="str"/>
      <x:c r="G44" s="49" t="str"/>
      <x:c r="H44" s="49" t="str"/>
      <x:c r="I44" s="49" t="str">
        <x:f>IF(AND(ISNUMBER(G44),ISNUMBER(H44),G44&gt;=0,H44&gt;=0),H44-G44,"")</x:f>
      </x:c>
      <x:c r="J44" s="53" t="str">
        <x:f>IF(ISNUMBER(I44),IF(G44=0,"N/A",I44/G44),"")</x:f>
      </x:c>
      <x:c r="K44" s="57" t="str"/>
      <x:c r="L44" s="57" t="str">
        <x:f>IF(AND(ISNUMBER(I44),ISNUMBER(K44),K44&gt;=0),I44*K44,"")</x:f>
      </x:c>
      <x:c r="M44" s="42" t="str">
        <x:f>IF(COUNTA(B44:H44,K44)=0,"",IF(ISNUMBER(I44),IF(I44=0,"MATCHED",IF(I44&lt;0,"SHORTAGE","EXCESS")),"INCOMPLETE"))</x:f>
      </x:c>
    </x:row>
    <x:row r="45">
      <x:c r="A45" s="40" t="n">
        <x:v>33</x:v>
      </x:c>
      <x:c r="B45" s="40" t="str"/>
      <x:c r="C45" s="40" t="str"/>
      <x:c r="D45" s="40" t="str"/>
      <x:c r="E45" s="40" t="str"/>
      <x:c r="F45" s="40" t="str"/>
      <x:c r="G45" s="48" t="str"/>
      <x:c r="H45" s="48" t="str"/>
      <x:c r="I45" s="48" t="str">
        <x:f>IF(AND(ISNUMBER(G45),ISNUMBER(H45),G45&gt;=0,H45&gt;=0),H45-G45,"")</x:f>
      </x:c>
      <x:c r="J45" s="52" t="str">
        <x:f>IF(ISNUMBER(I45),IF(G45=0,"N/A",I45/G45),"")</x:f>
      </x:c>
      <x:c r="K45" s="56" t="str"/>
      <x:c r="L45" s="56" t="str">
        <x:f>IF(AND(ISNUMBER(I45),ISNUMBER(K45),K45&gt;=0),I45*K45,"")</x:f>
      </x:c>
      <x:c r="M45" s="40" t="str">
        <x:f>IF(COUNTA(B45:H45,K45)=0,"",IF(ISNUMBER(I45),IF(I45=0,"MATCHED",IF(I45&lt;0,"SHORTAGE","EXCESS")),"INCOMPLETE"))</x:f>
      </x:c>
    </x:row>
    <x:row r="46">
      <x:c r="A46" s="42" t="n">
        <x:v>34</x:v>
      </x:c>
      <x:c r="B46" s="42" t="str"/>
      <x:c r="C46" s="42" t="str"/>
      <x:c r="D46" s="42" t="str"/>
      <x:c r="E46" s="42" t="str"/>
      <x:c r="F46" s="42" t="str"/>
      <x:c r="G46" s="49" t="str"/>
      <x:c r="H46" s="49" t="str"/>
      <x:c r="I46" s="49" t="str">
        <x:f>IF(AND(ISNUMBER(G46),ISNUMBER(H46),G46&gt;=0,H46&gt;=0),H46-G46,"")</x:f>
      </x:c>
      <x:c r="J46" s="53" t="str">
        <x:f>IF(ISNUMBER(I46),IF(G46=0,"N/A",I46/G46),"")</x:f>
      </x:c>
      <x:c r="K46" s="57" t="str"/>
      <x:c r="L46" s="57" t="str">
        <x:f>IF(AND(ISNUMBER(I46),ISNUMBER(K46),K46&gt;=0),I46*K46,"")</x:f>
      </x:c>
      <x:c r="M46" s="42" t="str">
        <x:f>IF(COUNTA(B46:H46,K46)=0,"",IF(ISNUMBER(I46),IF(I46=0,"MATCHED",IF(I46&lt;0,"SHORTAGE","EXCESS")),"INCOMPLETE"))</x:f>
      </x:c>
    </x:row>
    <x:row r="47">
      <x:c r="A47" s="40" t="n">
        <x:v>35</x:v>
      </x:c>
      <x:c r="B47" s="40" t="str"/>
      <x:c r="C47" s="40" t="str"/>
      <x:c r="D47" s="40" t="str"/>
      <x:c r="E47" s="40" t="str"/>
      <x:c r="F47" s="40" t="str"/>
      <x:c r="G47" s="48" t="str"/>
      <x:c r="H47" s="48" t="str"/>
      <x:c r="I47" s="48" t="str">
        <x:f>IF(AND(ISNUMBER(G47),ISNUMBER(H47),G47&gt;=0,H47&gt;=0),H47-G47,"")</x:f>
      </x:c>
      <x:c r="J47" s="52" t="str">
        <x:f>IF(ISNUMBER(I47),IF(G47=0,"N/A",I47/G47),"")</x:f>
      </x:c>
      <x:c r="K47" s="56" t="str"/>
      <x:c r="L47" s="56" t="str">
        <x:f>IF(AND(ISNUMBER(I47),ISNUMBER(K47),K47&gt;=0),I47*K47,"")</x:f>
      </x:c>
      <x:c r="M47" s="40" t="str">
        <x:f>IF(COUNTA(B47:H47,K47)=0,"",IF(ISNUMBER(I47),IF(I47=0,"MATCHED",IF(I47&lt;0,"SHORTAGE","EXCESS")),"INCOMPLETE"))</x:f>
      </x:c>
    </x:row>
    <x:row r="48">
      <x:c r="A48" s="42" t="n">
        <x:v>36</x:v>
      </x:c>
      <x:c r="B48" s="42" t="str"/>
      <x:c r="C48" s="42" t="str"/>
      <x:c r="D48" s="42" t="str"/>
      <x:c r="E48" s="42" t="str"/>
      <x:c r="F48" s="42" t="str"/>
      <x:c r="G48" s="49" t="str"/>
      <x:c r="H48" s="49" t="str"/>
      <x:c r="I48" s="49" t="str">
        <x:f>IF(AND(ISNUMBER(G48),ISNUMBER(H48),G48&gt;=0,H48&gt;=0),H48-G48,"")</x:f>
      </x:c>
      <x:c r="J48" s="53" t="str">
        <x:f>IF(ISNUMBER(I48),IF(G48=0,"N/A",I48/G48),"")</x:f>
      </x:c>
      <x:c r="K48" s="57" t="str"/>
      <x:c r="L48" s="57" t="str">
        <x:f>IF(AND(ISNUMBER(I48),ISNUMBER(K48),K48&gt;=0),I48*K48,"")</x:f>
      </x:c>
      <x:c r="M48" s="42" t="str">
        <x:f>IF(COUNTA(B48:H48,K48)=0,"",IF(ISNUMBER(I48),IF(I48=0,"MATCHED",IF(I48&lt;0,"SHORTAGE","EXCESS")),"INCOMPLETE"))</x:f>
      </x:c>
    </x:row>
    <x:row r="49">
      <x:c r="A49" s="40" t="n">
        <x:v>37</x:v>
      </x:c>
      <x:c r="B49" s="40" t="str"/>
      <x:c r="C49" s="40" t="str"/>
      <x:c r="D49" s="40" t="str"/>
      <x:c r="E49" s="40" t="str"/>
      <x:c r="F49" s="40" t="str"/>
      <x:c r="G49" s="48" t="str"/>
      <x:c r="H49" s="48" t="str"/>
      <x:c r="I49" s="48" t="str">
        <x:f>IF(AND(ISNUMBER(G49),ISNUMBER(H49),G49&gt;=0,H49&gt;=0),H49-G49,"")</x:f>
      </x:c>
      <x:c r="J49" s="52" t="str">
        <x:f>IF(ISNUMBER(I49),IF(G49=0,"N/A",I49/G49),"")</x:f>
      </x:c>
      <x:c r="K49" s="56" t="str"/>
      <x:c r="L49" s="56" t="str">
        <x:f>IF(AND(ISNUMBER(I49),ISNUMBER(K49),K49&gt;=0),I49*K49,"")</x:f>
      </x:c>
      <x:c r="M49" s="40" t="str">
        <x:f>IF(COUNTA(B49:H49,K49)=0,"",IF(ISNUMBER(I49),IF(I49=0,"MATCHED",IF(I49&lt;0,"SHORTAGE","EXCESS")),"INCOMPLETE"))</x:f>
      </x:c>
    </x:row>
    <x:row r="50">
      <x:c r="A50" s="42" t="n">
        <x:v>38</x:v>
      </x:c>
      <x:c r="B50" s="42" t="str"/>
      <x:c r="C50" s="42" t="str"/>
      <x:c r="D50" s="42" t="str"/>
      <x:c r="E50" s="42" t="str"/>
      <x:c r="F50" s="42" t="str"/>
      <x:c r="G50" s="49" t="str"/>
      <x:c r="H50" s="49" t="str"/>
      <x:c r="I50" s="49" t="str">
        <x:f>IF(AND(ISNUMBER(G50),ISNUMBER(H50),G50&gt;=0,H50&gt;=0),H50-G50,"")</x:f>
      </x:c>
      <x:c r="J50" s="53" t="str">
        <x:f>IF(ISNUMBER(I50),IF(G50=0,"N/A",I50/G50),"")</x:f>
      </x:c>
      <x:c r="K50" s="57" t="str"/>
      <x:c r="L50" s="57" t="str">
        <x:f>IF(AND(ISNUMBER(I50),ISNUMBER(K50),K50&gt;=0),I50*K50,"")</x:f>
      </x:c>
      <x:c r="M50" s="42" t="str">
        <x:f>IF(COUNTA(B50:H50,K50)=0,"",IF(ISNUMBER(I50),IF(I50=0,"MATCHED",IF(I50&lt;0,"SHORTAGE","EXCESS")),"INCOMPLETE"))</x:f>
      </x:c>
    </x:row>
    <x:row r="51">
      <x:c r="A51" s="40" t="n">
        <x:v>39</x:v>
      </x:c>
      <x:c r="B51" s="40" t="str"/>
      <x:c r="C51" s="40" t="str"/>
      <x:c r="D51" s="40" t="str"/>
      <x:c r="E51" s="40" t="str"/>
      <x:c r="F51" s="40" t="str"/>
      <x:c r="G51" s="48" t="str"/>
      <x:c r="H51" s="48" t="str"/>
      <x:c r="I51" s="48" t="str">
        <x:f>IF(AND(ISNUMBER(G51),ISNUMBER(H51),G51&gt;=0,H51&gt;=0),H51-G51,"")</x:f>
      </x:c>
      <x:c r="J51" s="52" t="str">
        <x:f>IF(ISNUMBER(I51),IF(G51=0,"N/A",I51/G51),"")</x:f>
      </x:c>
      <x:c r="K51" s="56" t="str"/>
      <x:c r="L51" s="56" t="str">
        <x:f>IF(AND(ISNUMBER(I51),ISNUMBER(K51),K51&gt;=0),I51*K51,"")</x:f>
      </x:c>
      <x:c r="M51" s="40" t="str">
        <x:f>IF(COUNTA(B51:H51,K51)=0,"",IF(ISNUMBER(I51),IF(I51=0,"MATCHED",IF(I51&lt;0,"SHORTAGE","EXCESS")),"INCOMPLETE"))</x:f>
      </x:c>
    </x:row>
    <x:row r="52">
      <x:c r="A52" s="42" t="n">
        <x:v>40</x:v>
      </x:c>
      <x:c r="B52" s="42" t="str"/>
      <x:c r="C52" s="42" t="str"/>
      <x:c r="D52" s="42" t="str"/>
      <x:c r="E52" s="42" t="str"/>
      <x:c r="F52" s="42" t="str"/>
      <x:c r="G52" s="49" t="str"/>
      <x:c r="H52" s="49" t="str"/>
      <x:c r="I52" s="49" t="str">
        <x:f>IF(AND(ISNUMBER(G52),ISNUMBER(H52),G52&gt;=0,H52&gt;=0),H52-G52,"")</x:f>
      </x:c>
      <x:c r="J52" s="53" t="str">
        <x:f>IF(ISNUMBER(I52),IF(G52=0,"N/A",I52/G52),"")</x:f>
      </x:c>
      <x:c r="K52" s="57" t="str"/>
      <x:c r="L52" s="57" t="str">
        <x:f>IF(AND(ISNUMBER(I52),ISNUMBER(K52),K52&gt;=0),I52*K52,"")</x:f>
      </x:c>
      <x:c r="M52" s="42" t="str">
        <x:f>IF(COUNTA(B52:H52,K52)=0,"",IF(ISNUMBER(I52),IF(I52=0,"MATCHED",IF(I52&lt;0,"SHORTAGE","EXCESS")),"INCOMPLETE"))</x:f>
      </x:c>
    </x:row>
    <x:row r="55">
      <x:c r="A55" s="18" t="str">
        <x:v>VARIANCE INVESTIGATION &amp; ACTION</x:v>
      </x:c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</x:row>
    <x:row r="56">
      <x:c r="A56" s="35" t="str">
        <x:v>SKU / Item Code</x:v>
      </x:c>
      <x:c r="B56" s="35" t="str">
        <x:v>Description</x:v>
      </x:c>
      <x:c r="C56" s="35" t="str">
        <x:v>Variance Qty</x:v>
      </x:c>
      <x:c r="D56" s="35" t="str">
        <x:v>Variance Value</x:v>
      </x:c>
      <x:c r="E56" s="35" t="str">
        <x:v>Reason / Root Cause</x:v>
      </x:c>
      <x:c r="F56" s="35" t="str"/>
      <x:c r="G56" s="35" t="str"/>
      <x:c r="H56" s="35" t="str">
        <x:v>Corrective Action</x:v>
      </x:c>
      <x:c r="I56" s="35" t="str"/>
      <x:c r="J56" s="35" t="str"/>
      <x:c r="K56" s="35" t="str">
        <x:v>Owner</x:v>
      </x:c>
      <x:c r="L56" s="35" t="str">
        <x:v>Due Date</x:v>
      </x:c>
      <x:c r="M56" s="35" t="str">
        <x:v>Approval / Notes</x:v>
      </x:c>
    </x:row>
    <x:row r="57">
      <x:c r="A57" s="40" t="str"/>
      <x:c r="B57" s="40" t="str"/>
      <x:c r="C57" s="48" t="str"/>
      <x:c r="D57" s="56" t="str"/>
      <x:c r="E57" s="40" t="str"/>
      <x:c r="F57" s="40" t="str"/>
      <x:c r="G57" s="40" t="str"/>
      <x:c r="H57" s="40" t="str"/>
      <x:c r="I57" s="40" t="str"/>
      <x:c r="J57" s="40" t="str"/>
      <x:c r="K57" s="40" t="str"/>
      <x:c r="L57" s="62" t="str"/>
      <x:c r="M57" s="40" t="str"/>
    </x:row>
    <x:row r="58">
      <x:c r="A58" s="40" t="str"/>
      <x:c r="B58" s="40" t="str"/>
      <x:c r="C58" s="48" t="str"/>
      <x:c r="D58" s="56" t="str"/>
      <x:c r="E58" s="40" t="str"/>
      <x:c r="F58" s="40" t="str"/>
      <x:c r="G58" s="40" t="str"/>
      <x:c r="H58" s="40" t="str"/>
      <x:c r="I58" s="40" t="str"/>
      <x:c r="J58" s="40" t="str"/>
      <x:c r="K58" s="40" t="str"/>
      <x:c r="L58" s="62" t="str"/>
      <x:c r="M58" s="40" t="str"/>
    </x:row>
    <x:row r="59">
      <x:c r="A59" s="40" t="str"/>
      <x:c r="B59" s="40" t="str"/>
      <x:c r="C59" s="48" t="str"/>
      <x:c r="D59" s="56" t="str"/>
      <x:c r="E59" s="40" t="str"/>
      <x:c r="F59" s="40" t="str"/>
      <x:c r="G59" s="40" t="str"/>
      <x:c r="H59" s="40" t="str"/>
      <x:c r="I59" s="40" t="str"/>
      <x:c r="J59" s="40" t="str"/>
      <x:c r="K59" s="40" t="str"/>
      <x:c r="L59" s="62" t="str"/>
      <x:c r="M59" s="40" t="str"/>
    </x:row>
    <x:row r="60">
      <x:c r="A60" s="40" t="str"/>
      <x:c r="B60" s="40" t="str"/>
      <x:c r="C60" s="48" t="str"/>
      <x:c r="D60" s="56" t="str"/>
      <x:c r="E60" s="40" t="str"/>
      <x:c r="F60" s="40" t="str"/>
      <x:c r="G60" s="40" t="str"/>
      <x:c r="H60" s="40" t="str"/>
      <x:c r="I60" s="40" t="str"/>
      <x:c r="J60" s="40" t="str"/>
      <x:c r="K60" s="40" t="str"/>
      <x:c r="L60" s="62" t="str"/>
      <x:c r="M60" s="40" t="str"/>
    </x:row>
    <x:row r="61">
      <x:c r="A61" s="40" t="str"/>
      <x:c r="B61" s="40" t="str"/>
      <x:c r="C61" s="48" t="str"/>
      <x:c r="D61" s="56" t="str"/>
      <x:c r="E61" s="40" t="str"/>
      <x:c r="F61" s="40" t="str"/>
      <x:c r="G61" s="40" t="str"/>
      <x:c r="H61" s="40" t="str"/>
      <x:c r="I61" s="40" t="str"/>
      <x:c r="J61" s="40" t="str"/>
      <x:c r="K61" s="40" t="str"/>
      <x:c r="L61" s="62" t="str"/>
      <x:c r="M61" s="40" t="str"/>
    </x:row>
    <x:row r="62">
      <x:c r="A62" s="40" t="str"/>
      <x:c r="B62" s="40" t="str"/>
      <x:c r="C62" s="48" t="str"/>
      <x:c r="D62" s="56" t="str"/>
      <x:c r="E62" s="40" t="str"/>
      <x:c r="F62" s="40" t="str"/>
      <x:c r="G62" s="40" t="str"/>
      <x:c r="H62" s="40" t="str"/>
      <x:c r="I62" s="40" t="str"/>
      <x:c r="J62" s="40" t="str"/>
      <x:c r="K62" s="40" t="str"/>
      <x:c r="L62" s="62" t="str"/>
      <x:c r="M62" s="40" t="str"/>
    </x:row>
    <x:row r="63">
      <x:c r="A63" s="40" t="str"/>
      <x:c r="B63" s="40" t="str"/>
      <x:c r="C63" s="48" t="str"/>
      <x:c r="D63" s="56" t="str"/>
      <x:c r="E63" s="40" t="str"/>
      <x:c r="F63" s="40" t="str"/>
      <x:c r="G63" s="40" t="str"/>
      <x:c r="H63" s="40" t="str"/>
      <x:c r="I63" s="40" t="str"/>
      <x:c r="J63" s="40" t="str"/>
      <x:c r="K63" s="40" t="str"/>
      <x:c r="L63" s="62" t="str"/>
      <x:c r="M63" s="40" t="str"/>
    </x:row>
    <x:row r="64">
      <x:c r="A64" s="40" t="str"/>
      <x:c r="B64" s="40" t="str"/>
      <x:c r="C64" s="48" t="str"/>
      <x:c r="D64" s="56" t="str"/>
      <x:c r="E64" s="40" t="str"/>
      <x:c r="F64" s="40" t="str"/>
      <x:c r="G64" s="40" t="str"/>
      <x:c r="H64" s="40" t="str"/>
      <x:c r="I64" s="40" t="str"/>
      <x:c r="J64" s="40" t="str"/>
      <x:c r="K64" s="40" t="str"/>
      <x:c r="L64" s="62" t="str"/>
      <x:c r="M64" s="40" t="str"/>
    </x:row>
    <x:row r="65">
      <x:c r="A65" s="40" t="str"/>
      <x:c r="B65" s="40" t="str"/>
      <x:c r="C65" s="48" t="str"/>
      <x:c r="D65" s="56" t="str"/>
      <x:c r="E65" s="40" t="str"/>
      <x:c r="F65" s="40" t="str"/>
      <x:c r="G65" s="40" t="str"/>
      <x:c r="H65" s="40" t="str"/>
      <x:c r="I65" s="40" t="str"/>
      <x:c r="J65" s="40" t="str"/>
      <x:c r="K65" s="40" t="str"/>
      <x:c r="L65" s="62" t="str"/>
      <x:c r="M65" s="40" t="str"/>
    </x:row>
    <x:row r="66">
      <x:c r="A66" s="40" t="str"/>
      <x:c r="B66" s="40" t="str"/>
      <x:c r="C66" s="48" t="str"/>
      <x:c r="D66" s="56" t="str"/>
      <x:c r="E66" s="40" t="str"/>
      <x:c r="F66" s="40" t="str"/>
      <x:c r="G66" s="40" t="str"/>
      <x:c r="H66" s="40" t="str"/>
      <x:c r="I66" s="40" t="str"/>
      <x:c r="J66" s="40" t="str"/>
      <x:c r="K66" s="40" t="str"/>
      <x:c r="L66" s="62" t="str"/>
      <x:c r="M66" s="40" t="str"/>
    </x:row>
    <x:row r="69">
      <x:c r="A69" s="45" t="str">
        <x:v>Prepared By / Signature</x:v>
      </x:c>
      <x:c r="B69" s="45" t="str"/>
      <x:c r="C69" s="45" t="str"/>
      <x:c r="D69" s="45" t="str"/>
      <x:c r="E69" s="45" t="str">
        <x:v>Reviewed By / Signature</x:v>
      </x:c>
      <x:c r="F69" s="45" t="str"/>
      <x:c r="G69" s="45" t="str"/>
      <x:c r="H69" s="45" t="str"/>
      <x:c r="I69" s="45" t="str">
        <x:v>Approved By / Signature</x:v>
      </x:c>
      <x:c r="J69" s="45" t="str"/>
      <x:c r="K69" s="45" t="str"/>
      <x:c r="L69" s="45" t="str"/>
      <x:c r="M69" s="45" t="str"/>
    </x:row>
  </x:sheetData>
  <x:mergeCells>
    <x:mergeCell ref="A1:M1"/>
    <x:mergeCell ref="A2:M2"/>
    <x:mergeCell ref="B4:C4"/>
    <x:mergeCell ref="E4:F4"/>
    <x:mergeCell ref="H4:I4"/>
    <x:mergeCell ref="K4:M4"/>
    <x:mergeCell ref="B5:C5"/>
    <x:mergeCell ref="E5:F5"/>
    <x:mergeCell ref="H5:I5"/>
    <x:mergeCell ref="K5:M5"/>
    <x:mergeCell ref="A7:M7"/>
    <x:mergeCell ref="A8:B8"/>
    <x:mergeCell ref="C8:D8"/>
    <x:mergeCell ref="E8:F8"/>
    <x:mergeCell ref="G8:H8"/>
    <x:mergeCell ref="I8:J8"/>
    <x:mergeCell ref="K8:L8"/>
    <x:mergeCell ref="A9:B9"/>
    <x:mergeCell ref="C9:D9"/>
    <x:mergeCell ref="E9:F9"/>
    <x:mergeCell ref="G9:H9"/>
    <x:mergeCell ref="I9:J9"/>
    <x:mergeCell ref="K9:L9"/>
    <x:mergeCell ref="A55:M55"/>
    <x:mergeCell ref="E56:G56"/>
    <x:mergeCell ref="H56:J56"/>
    <x:mergeCell ref="A69:D69"/>
    <x:mergeCell ref="E69:H69"/>
    <x:mergeCell ref="I69:M69"/>
    <x:mergeCell ref="A70:D71"/>
    <x:mergeCell ref="E70:H71"/>
    <x:mergeCell ref="I70:M71"/>
    <x:mergeCell ref="A10:M10"/>
  </x:mergeCells>
  <x:conditionalFormatting sqref="M13:M52">
    <x:cfRule type="expression" dxfId="0" priority="1">
      <x:formula>M13="MATCHED"</x:formula>
    </x:cfRule>
    <x:cfRule type="expression" dxfId="1" priority="2">
      <x:formula>M13="SHORTAGE"</x:formula>
    </x:cfRule>
    <x:cfRule type="expression" dxfId="2" priority="3">
      <x:formula>M13="EXCESS"</x:formula>
    </x:cfRule>
    <x:cfRule type="containsText" dxfId="3" priority="4" operator="containsText" text="INCOMPLETE"/>
  </x:conditionalFormatting>
  <x:dataValidations count="2">
    <x:dataValidation type="list" sqref="B5">
      <x:formula1>"USD,EUR,GBP,CAD,AUD,NZD,CHF,JPY,CNY,HKD,SGD,INR,AED,SAR,QAR,LKR,ZAR,BRL,MXN"</x:formula1>
    </x:dataValidation>
    <x:dataValidation type="list" sqref="F13:F52">
      <x:formula1>"PCS,EA,BOX,CTN,KG,G,L,ML,M,SET,PACK"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30" customHeight="1">
      <x:c r="A1" s="65" t="str">
        <x:v>DIXANI Stock Variance Report - How to Use</x:v>
      </x:c>
      <x:c r="B1" s="65"/>
      <x:c r="C1" s="65"/>
      <x:c r="D1" s="65"/>
      <x:c r="E1" s="65"/>
      <x:c r="F1" s="65"/>
    </x:row>
    <x:row r="3" ht="56" customHeight="1">
      <x:c r="A3" s="70" t="str">
        <x:v>Purpose</x:v>
      </x:c>
      <x:c r="B3" s="71" t="str">
        <x:v>Compare system stock with a completed physical count and document inventory discrepancies.</x:v>
      </x:c>
      <x:c r="C3" s="71"/>
      <x:c r="D3" s="71"/>
      <x:c r="E3" s="71"/>
      <x:c r="F3" s="71"/>
    </x:row>
    <x:row r="4" ht="56" customHeight="1">
      <x:c r="A4" s="70" t="str">
        <x:v>1</x:v>
      </x:c>
      <x:c r="B4" s="71" t="str">
        <x:v>Choose the report currency (USD by default). All unit costs must use that currency. The selector does not convert exchange rates.</x:v>
      </x:c>
      <x:c r="C4" s="71"/>
      <x:c r="D4" s="71"/>
      <x:c r="E4" s="71"/>
      <x:c r="F4" s="71"/>
    </x:row>
    <x:row r="5" ht="56" customHeight="1">
      <x:c r="A5" s="70" t="str">
        <x:v>2</x:v>
      </x:c>
      <x:c r="B5" s="71" t="str">
        <x:v>Use rows 13–52. Enter SKU, description, category, location, UOM, system quantity, physical quantity and unit cost. Compare the same item, unit and count cut-off.</x:v>
      </x:c>
      <x:c r="C5" s="71"/>
      <x:c r="D5" s="71"/>
      <x:c r="E5" s="71"/>
      <x:c r="F5" s="71"/>
    </x:row>
    <x:row r="6" ht="56" customHeight="1">
      <x:c r="A6" s="70" t="str">
        <x:v>3</x:v>
      </x:c>
      <x:c r="B6" s="71" t="str">
        <x:v>Variance quantity = physical quantity minus system quantity. Blank or nonnumeric quantities are unknown. Enter zero only when confirmed. Negative inputs are not accepted by calculations.</x:v>
      </x:c>
      <x:c r="C6" s="71"/>
      <x:c r="D6" s="71"/>
      <x:c r="E6" s="71"/>
      <x:c r="F6" s="71"/>
    </x:row>
    <x:row r="7" ht="56" customHeight="1">
      <x:c r="A7" s="70" t="str">
        <x:v>4</x:v>
      </x:c>
      <x:c r="B7" s="71" t="str">
        <x:v>Variance % = variance quantity / system quantity. A zero system quantity shows N/A, including when both quantities are zero. It is not a 100% variance.</x:v>
      </x:c>
      <x:c r="C7" s="71"/>
      <x:c r="D7" s="71"/>
      <x:c r="E7" s="71"/>
      <x:c r="F7" s="71"/>
    </x:row>
    <x:row r="8" ht="56" customHeight="1">
      <x:c r="A8" s="70" t="str">
        <x:v>5</x:v>
      </x:c>
      <x:c r="B8" s="71" t="str">
        <x:v>Variance value = variance quantity x unit cost. All value totals show Incomplete until each started row has valid quantities and a nonnegative numeric cost. A confirmed zero cost is allowed.</x:v>
      </x:c>
      <x:c r="C8" s="71"/>
      <x:c r="D8" s="71"/>
      <x:c r="E8" s="71"/>
      <x:c r="F8" s="71"/>
    </x:row>
    <x:row r="9" ht="56" customHeight="1">
      <x:c r="A9" s="70" t="str">
        <x:v>6</x:v>
      </x:c>
      <x:c r="B9" s="71" t="str">
        <x:v>Started Rows counts rows with inputs. MATCHED, SHORTAGE and EXCESS classify valid quantity pairs. INCOMPLETE means quantities need attention. A matched quantity does not confirm cost completeness.</x:v>
      </x:c>
      <x:c r="C9" s="71"/>
      <x:c r="D9" s="71"/>
      <x:c r="E9" s="71"/>
      <x:c r="F9" s="71"/>
    </x:row>
    <x:row r="10" ht="56" customHeight="1">
      <x:c r="A10" s="70" t="str">
        <x:v>7</x:v>
      </x:c>
      <x:c r="B10" s="71" t="str">
        <x:v>Record evidence, corrective action, owner, due date and approvals in the investigation section. Net value offsets shortages against excesses; review both separately.</x:v>
      </x:c>
      <x:c r="C10" s="71"/>
      <x:c r="D10" s="71"/>
      <x:c r="E10" s="71"/>
      <x:c r="F10" s="71"/>
    </x:row>
    <x:row r="11" ht="56" customHeight="1">
      <x:c r="A11" s="70" t="str">
        <x:v>Control note</x:v>
      </x:c>
      <x:c r="B11" s="71" t="str">
        <x:v>Recount and review transactions before adjustment. Keep each SKU, location and UOM comparison on its own row. Do not duplicate a count or mix currencies. Example values are fictional.</x:v>
      </x:c>
      <x:c r="C11" s="71"/>
      <x:c r="D11" s="71"/>
      <x:c r="E11" s="71"/>
      <x:c r="F11" s="71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32" t="str">
        <x:v>SKU</x:v>
      </x:c>
      <x:c r="B1" s="32" t="str">
        <x:v>Description</x:v>
      </x:c>
      <x:c r="C1" s="32" t="str">
        <x:v>System Qty</x:v>
      </x:c>
      <x:c r="D1" s="32" t="str">
        <x:v>Physical Qty</x:v>
      </x:c>
      <x:c r="E1" s="32" t="str">
        <x:v>Variance Qty</x:v>
      </x:c>
      <x:c r="F1" s="32" t="str">
        <x:v>Unit Cost</x:v>
      </x:c>
      <x:c r="G1" s="32" t="str">
        <x:v>Variance Value</x:v>
      </x:c>
      <x:c r="H1" s="32" t="str">
        <x:v>Status</x:v>
      </x:c>
    </x:row>
    <x:row r="2">
      <x:c r="A2" t="str">
        <x:v>SKU-001</x:v>
      </x:c>
      <x:c r="B2" t="str">
        <x:v>Sample Item A</x:v>
      </x:c>
      <x:c r="C2" t="n">
        <x:v>100</x:v>
      </x:c>
      <x:c r="D2" t="n">
        <x:v>98</x:v>
      </x:c>
      <x:c r="E2" t="n">
        <x:v>-2</x:v>
      </x:c>
      <x:c r="F2" s="68" t="n">
        <x:v>25</x:v>
      </x:c>
      <x:c r="G2" s="68" t="n">
        <x:v>-50</x:v>
      </x:c>
      <x:c r="H2" t="str">
        <x:v>SHORTAGE</x:v>
      </x:c>
    </x:row>
    <x:row r="3">
      <x:c r="A3" t="str">
        <x:v>SKU-002</x:v>
      </x:c>
      <x:c r="B3" t="str">
        <x:v>Sample Item B</x:v>
      </x:c>
      <x:c r="C3" t="n">
        <x:v>50</x:v>
      </x:c>
      <x:c r="D3" t="n">
        <x:v>50</x:v>
      </x:c>
      <x:c r="E3" t="n">
        <x:v>0</x:v>
      </x:c>
      <x:c r="F3" s="68" t="n">
        <x:v>10</x:v>
      </x:c>
      <x:c r="G3" s="68" t="n">
        <x:v>0</x:v>
      </x:c>
      <x:c r="H3" t="str">
        <x:v>MATCHED</x:v>
      </x:c>
    </x:row>
    <x:row r="4">
      <x:c r="A4" t="str">
        <x:v>SKU-003</x:v>
      </x:c>
      <x:c r="B4" t="str">
        <x:v>Sample Item C</x:v>
      </x:c>
      <x:c r="C4" t="n">
        <x:v>80</x:v>
      </x:c>
      <x:c r="D4" t="n">
        <x:v>84</x:v>
      </x:c>
      <x:c r="E4" t="n">
        <x:v>4</x:v>
      </x:c>
      <x:c r="F4" s="68" t="n">
        <x:v>15</x:v>
      </x:c>
      <x:c r="G4" s="68" t="n">
        <x:v>60</x:v>
      </x:c>
      <x:c r="H4" t="str">
        <x:v>EXCESS</x:v>
      </x:c>
    </x:row>
    <x:row r="5">
      <x:c r="A5" t="str">
        <x:v>SKU-004</x:v>
      </x:c>
      <x:c r="B5" t="str">
        <x:v>Sample Item D</x:v>
      </x:c>
      <x:c r="C5" t="n">
        <x:v>20</x:v>
      </x:c>
      <x:c r="D5" t="n">
        <x:v>19</x:v>
      </x:c>
      <x:c r="E5" t="n">
        <x:v>-1</x:v>
      </x:c>
      <x:c r="F5" s="68" t="n">
        <x:v>100</x:v>
      </x:c>
      <x:c r="G5" s="68" t="n">
        <x:v>-100</x:v>
      </x:c>
      <x:c r="H5" t="str">
        <x:v>SHORTAGE</x:v>
      </x:c>
    </x:row>
  </x:sheetData>
  <x:pageMargins left="0.7" right="0.7" top="0.75" bottom="0.75" header="0.3" footer="0.3"/>
</x:worksheet>
</file>